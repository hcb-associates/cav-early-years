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68880A47-7811-4C42-B6C2-FD2D74F20219}" xr6:coauthVersionLast="47" xr6:coauthVersionMax="47" xr10:uidLastSave="{00000000-0000-0000-0000-000000000000}"/>
  <bookViews>
    <workbookView xWindow="-110" yWindow="-110" windowWidth="19420" windowHeight="11500" xr2:uid="{E1A06AB1-01EC-4409-8C72-882FFAC3A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5" i="1"/>
</calcChain>
</file>

<file path=xl/sharedStrings.xml><?xml version="1.0" encoding="utf-8"?>
<sst xmlns="http://schemas.openxmlformats.org/spreadsheetml/2006/main" count="34" uniqueCount="15">
  <si>
    <t>Type of Provision</t>
  </si>
  <si>
    <t>No of Registered Settings*</t>
  </si>
  <si>
    <t>No of Registered Places</t>
  </si>
  <si>
    <t>Childminder</t>
  </si>
  <si>
    <t>Full Daycare</t>
  </si>
  <si>
    <t>Sessional Care</t>
  </si>
  <si>
    <t>Out of School</t>
  </si>
  <si>
    <t>Creche</t>
  </si>
  <si>
    <t>Open Access Play</t>
  </si>
  <si>
    <t> 170</t>
  </si>
  <si>
    <t>LA</t>
  </si>
  <si>
    <t>Cardiff</t>
  </si>
  <si>
    <t>All</t>
  </si>
  <si>
    <t>VOG</t>
  </si>
  <si>
    <t>place_pc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</si>
</sst>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ptos"/>
      <family val="2"/>
    </font>
    <font>
      <b/>
      <sz val="12"/>
      <color rgb="FF22222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/>
    <xf numFmtId="3" fontId="2" fillId="2" borderId="4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0EE-2032-41C5-B30F-D5471F5C07CF}">
  <dimension ref="A1:E15"/>
  <sheetViews>
    <sheetView tabSelected="1" workbookViewId="0">
      <selection activeCell="E2" sqref="E2"/>
    </sheetView>
  </sheetViews>
  <sheetFormatPr defaultRowHeight="14.5" x14ac:dyDescent="0.35"/>
  <cols>
    <col min="2" max="2" width="17.26953125" customWidth="1"/>
    <col min="3" max="3" width="16.1796875" customWidth="1"/>
    <col min="4" max="4" width="17" customWidth="1"/>
  </cols>
  <sheetData>
    <row r="1" spans="1:5" ht="48.5" thickBot="1" x14ac:dyDescent="0.4">
      <c r="A1" s="7" t="s">
        <v>10</v>
      </c>
      <c r="B1" s="1" t="s">
        <v>0</v>
      </c>
      <c r="C1" s="2" t="s">
        <v>1</v>
      </c>
      <c r="D1" s="2" t="s">
        <v>2</v>
      </c>
      <c r="E1" s="10" t="s">
        <v>14</v>
      </c>
    </row>
    <row r="2" spans="1:5" ht="32.5" thickBot="1" x14ac:dyDescent="0.4">
      <c r="A2" t="s">
        <v>13</v>
      </c>
      <c r="B2" s="3" t="s">
        <v>3</v>
      </c>
      <c r="C2" s="4">
        <v>89</v>
      </c>
      <c r="D2" s="4">
        <v>722</v>
      </c>
      <c r="E2">
        <f t="shared" ref="E2:E8" si="0">D2*1000/67230</f>
        <v>10.739253309534433</v>
      </c>
    </row>
    <row r="3" spans="1:5" ht="48.5" thickBot="1" x14ac:dyDescent="0.4">
      <c r="A3" t="s">
        <v>13</v>
      </c>
      <c r="B3" s="3" t="s">
        <v>4</v>
      </c>
      <c r="C3" s="4">
        <v>47</v>
      </c>
      <c r="D3" s="4">
        <v>2153</v>
      </c>
      <c r="E3">
        <f t="shared" si="0"/>
        <v>32.024393871783431</v>
      </c>
    </row>
    <row r="4" spans="1:5" ht="32.5" thickBot="1" x14ac:dyDescent="0.4">
      <c r="A4" t="s">
        <v>13</v>
      </c>
      <c r="B4" s="3" t="s">
        <v>5</v>
      </c>
      <c r="C4" s="4">
        <v>15</v>
      </c>
      <c r="D4" s="4">
        <v>429</v>
      </c>
      <c r="E4">
        <f t="shared" si="0"/>
        <v>6.3810798750557787</v>
      </c>
    </row>
    <row r="5" spans="1:5" ht="32.5" thickBot="1" x14ac:dyDescent="0.4">
      <c r="A5" t="s">
        <v>13</v>
      </c>
      <c r="B5" s="3" t="s">
        <v>6</v>
      </c>
      <c r="C5" s="4">
        <v>17</v>
      </c>
      <c r="D5" s="4">
        <v>684</v>
      </c>
      <c r="E5">
        <f t="shared" si="0"/>
        <v>10.174029451137885</v>
      </c>
    </row>
    <row r="6" spans="1:5" ht="16.5" thickBot="1" x14ac:dyDescent="0.4">
      <c r="A6" t="s">
        <v>13</v>
      </c>
      <c r="B6" s="3" t="s">
        <v>7</v>
      </c>
      <c r="C6" s="4">
        <v>1</v>
      </c>
      <c r="D6" s="4">
        <v>12</v>
      </c>
      <c r="E6">
        <f t="shared" si="0"/>
        <v>0.17849174475680499</v>
      </c>
    </row>
    <row r="7" spans="1:5" ht="48.5" thickBot="1" x14ac:dyDescent="0.4">
      <c r="A7" t="s">
        <v>13</v>
      </c>
      <c r="B7" s="3" t="s">
        <v>8</v>
      </c>
      <c r="C7" s="4">
        <v>1</v>
      </c>
      <c r="D7" s="4">
        <v>100</v>
      </c>
      <c r="E7">
        <f t="shared" si="0"/>
        <v>1.4874312063067083</v>
      </c>
    </row>
    <row r="8" spans="1:5" ht="16.5" thickBot="1" x14ac:dyDescent="0.4">
      <c r="A8" t="s">
        <v>13</v>
      </c>
      <c r="B8" s="5" t="s">
        <v>12</v>
      </c>
      <c r="C8" s="6" t="s">
        <v>9</v>
      </c>
      <c r="D8" s="4">
        <v>4100</v>
      </c>
      <c r="E8">
        <f t="shared" si="0"/>
        <v>60.984679458575037</v>
      </c>
    </row>
    <row r="9" spans="1:5" ht="32.5" thickBot="1" x14ac:dyDescent="0.4">
      <c r="A9" t="s">
        <v>11</v>
      </c>
      <c r="B9" s="3" t="s">
        <v>3</v>
      </c>
      <c r="C9" s="4">
        <v>154</v>
      </c>
      <c r="D9" s="8">
        <v>1347</v>
      </c>
      <c r="E9">
        <f t="shared" ref="E9:E15" si="1">D9*1000/24819</f>
        <v>54.272936057053066</v>
      </c>
    </row>
    <row r="10" spans="1:5" ht="48.5" thickBot="1" x14ac:dyDescent="0.4">
      <c r="A10" t="s">
        <v>11</v>
      </c>
      <c r="B10" s="3" t="s">
        <v>4</v>
      </c>
      <c r="C10" s="4">
        <v>90</v>
      </c>
      <c r="D10" s="8">
        <v>4466</v>
      </c>
      <c r="E10">
        <f t="shared" si="1"/>
        <v>179.94278576896733</v>
      </c>
    </row>
    <row r="11" spans="1:5" ht="16.5" thickBot="1" x14ac:dyDescent="0.4">
      <c r="A11" t="s">
        <v>11</v>
      </c>
      <c r="B11" s="3" t="s">
        <v>5</v>
      </c>
      <c r="C11" s="4">
        <v>36</v>
      </c>
      <c r="D11" s="4">
        <v>985</v>
      </c>
      <c r="E11">
        <f t="shared" si="1"/>
        <v>39.687336314920024</v>
      </c>
    </row>
    <row r="12" spans="1:5" ht="16.5" thickBot="1" x14ac:dyDescent="0.4">
      <c r="A12" t="s">
        <v>11</v>
      </c>
      <c r="B12" s="3" t="s">
        <v>6</v>
      </c>
      <c r="C12" s="4">
        <v>42</v>
      </c>
      <c r="D12" s="8">
        <v>2425</v>
      </c>
      <c r="E12">
        <f t="shared" si="1"/>
        <v>97.70740158749345</v>
      </c>
    </row>
    <row r="13" spans="1:5" ht="16.5" thickBot="1" x14ac:dyDescent="0.4">
      <c r="A13" t="s">
        <v>11</v>
      </c>
      <c r="B13" s="3" t="s">
        <v>7</v>
      </c>
      <c r="C13" s="4">
        <v>2</v>
      </c>
      <c r="D13" s="4">
        <v>60</v>
      </c>
      <c r="E13">
        <f t="shared" si="1"/>
        <v>2.4175027196905599</v>
      </c>
    </row>
    <row r="14" spans="1:5" ht="32.5" thickBot="1" x14ac:dyDescent="0.4">
      <c r="A14" t="s">
        <v>11</v>
      </c>
      <c r="B14" s="3" t="s">
        <v>8</v>
      </c>
      <c r="C14" s="4">
        <v>1</v>
      </c>
      <c r="D14" s="4">
        <v>60</v>
      </c>
      <c r="E14">
        <f t="shared" si="1"/>
        <v>2.4175027196905599</v>
      </c>
    </row>
    <row r="15" spans="1:5" ht="16.5" thickBot="1" x14ac:dyDescent="0.4">
      <c r="A15" t="s">
        <v>11</v>
      </c>
      <c r="B15" s="5" t="s">
        <v>12</v>
      </c>
      <c r="C15" s="6">
        <f>SUM(C9:C14)</f>
        <v>325</v>
      </c>
      <c r="D15" s="9">
        <v>9343</v>
      </c>
      <c r="E15">
        <f t="shared" si="1"/>
        <v>376.44546516781497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Currie</dc:creator>
  <cp:lastModifiedBy>Jonny Currie</cp:lastModifiedBy>
  <dcterms:created xsi:type="dcterms:W3CDTF">2024-10-14T05:41:15Z</dcterms:created>
  <dcterms:modified xsi:type="dcterms:W3CDTF">2024-12-21T06:49:16Z</dcterms:modified>
</cp:coreProperties>
</file>